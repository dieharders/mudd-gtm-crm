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Custom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rospects" state="visible" r:id="rId5"/>
    <sheet sheetId="3" name="Contacts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Counts over the Prospects tab by column letter: keep its column order.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3" authorId="0">
      <text>
        <r>
          <t>Harbor Lights: the warehouse lead is the one to reach.</t>
        </r>
      </text>
    </comment>
    <comment ref="I6" authorId="0">
      <text>
        <r>
          <t>Marked dead after the vendor announcement.</t>
        </r>
      </text>
    </comment>
  </commentList>
</comments>
</file>

<file path=xl/sharedStrings.xml><?xml version="1.0" encoding="utf-8"?>
<sst xmlns="http://schemas.openxmlformats.org/spreadsheetml/2006/main" count="169" uniqueCount="131">
  <si>
    <t>Pipeline summary</t>
  </si>
  <si>
    <t>Stage</t>
  </si>
  <si>
    <t>Direct</t>
  </si>
  <si>
    <t>Aggregator</t>
  </si>
  <si>
    <t>Not contacted</t>
  </si>
  <si>
    <t>Contacted</t>
  </si>
  <si>
    <t>Replied</t>
  </si>
  <si>
    <t>Meeting booked</t>
  </si>
  <si>
    <t>Clinic held</t>
  </si>
  <si>
    <t>Trial</t>
  </si>
  <si>
    <t>Signed</t>
  </si>
  <si>
    <t>Dead</t>
  </si>
  <si>
    <t>Total prospects</t>
  </si>
  <si>
    <t>Screened out</t>
  </si>
  <si>
    <t>Contacts</t>
  </si>
  <si>
    <t>ID</t>
  </si>
  <si>
    <t>Company</t>
  </si>
  <si>
    <t>Motion</t>
  </si>
  <si>
    <t>Rank</t>
  </si>
  <si>
    <t>Type</t>
  </si>
  <si>
    <t>Location</t>
  </si>
  <si>
    <t>Website</t>
  </si>
  <si>
    <t># Employees</t>
  </si>
  <si>
    <t>Status</t>
  </si>
  <si>
    <t>Next step</t>
  </si>
  <si>
    <t>Meeting URL</t>
  </si>
  <si>
    <t>Meeting at</t>
  </si>
  <si>
    <t>Hook</t>
  </si>
  <si>
    <t>Notes</t>
  </si>
  <si>
    <t>Source</t>
  </si>
  <si>
    <t>Intro message</t>
  </si>
  <si>
    <t>Screened reason</t>
  </si>
  <si>
    <t>P-001</t>
  </si>
  <si>
    <t>Northwind Fabrication</t>
  </si>
  <si>
    <t>Manufacturer</t>
  </si>
  <si>
    <t>Dayton, OH</t>
  </si>
  <si>
    <t>northwindfab.example</t>
  </si>
  <si>
    <t>Follow up on the assessment offer</t>
  </si>
  <si>
    <t>Hiring a security lead</t>
  </si>
  <si>
    <t>Plant manager owns IT budget</t>
  </si>
  <si>
    <t>Trade list</t>
  </si>
  <si>
    <t>P-002</t>
  </si>
  <si>
    <t>Harbor Lights Logistics</t>
  </si>
  <si>
    <t>3PL</t>
  </si>
  <si>
    <t>Tacoma, WA</t>
  </si>
  <si>
    <t>harborlights.example</t>
  </si>
  <si>
    <t>Send the one-pager</t>
  </si>
  <si>
    <t>Opened a second warehouse</t>
  </si>
  <si>
    <r>
      <rPr>
        <b/>
      </rPr>
      <t xml:space="preserve">Warm. </t>
    </r>
    <r>
      <t>Asked for pricing by email.</t>
    </r>
  </si>
  <si>
    <t>Referral</t>
  </si>
  <si>
    <t>P-003</t>
  </si>
  <si>
    <t>Copperline Foods</t>
  </si>
  <si>
    <t>Food processor</t>
  </si>
  <si>
    <t>Fresno, CA</t>
  </si>
  <si>
    <t>copperline.example</t>
  </si>
  <si>
    <t>New CFO in August</t>
  </si>
  <si>
    <t>Association list</t>
  </si>
  <si>
    <t>P-004</t>
  </si>
  <si>
    <t>Bluestem Dental Group</t>
  </si>
  <si>
    <t>Dental group</t>
  </si>
  <si>
    <t>Omaha, NE</t>
  </si>
  <si>
    <t>bluestemdental.example</t>
  </si>
  <si>
    <t>Prep for the call</t>
  </si>
  <si>
    <t>https://meet.example/blue-stem</t>
  </si>
  <si>
    <t>Adding two locations</t>
  </si>
  <si>
    <t>Office manager is the champion</t>
  </si>
  <si>
    <t xml:space="preserve">Hi Dana,
thanks for the time this week.</t>
  </si>
  <si>
    <t>P-005</t>
  </si>
  <si>
    <t>Granite Peak Credit Union</t>
  </si>
  <si>
    <t>Credit union</t>
  </si>
  <si>
    <t>Boise, ID</t>
  </si>
  <si>
    <t>granitepeakcu.example</t>
  </si>
  <si>
    <t>Chose an incumbent</t>
  </si>
  <si>
    <t>Conference</t>
  </si>
  <si>
    <t>TRUE</t>
  </si>
  <si>
    <t>Signed a three-year deal with another vendor</t>
  </si>
  <si>
    <t>P-006</t>
  </si>
  <si>
    <t>Saltmarsh Marine Supply</t>
  </si>
  <si>
    <t>Distributor</t>
  </si>
  <si>
    <t>Mobile, AL</t>
  </si>
  <si>
    <t>saltmarshmarine.example</t>
  </si>
  <si>
    <t>Call Thursday</t>
  </si>
  <si>
    <t>Seasonal push before spring</t>
  </si>
  <si>
    <t>Paste new rows directly above this line, columns already in this order.</t>
  </si>
  <si>
    <t>Prospect ID</t>
  </si>
  <si>
    <t>Name</t>
  </si>
  <si>
    <t>Contact type</t>
  </si>
  <si>
    <t>Primary</t>
  </si>
  <si>
    <t>Title</t>
  </si>
  <si>
    <t>Role</t>
  </si>
  <si>
    <t>Email</t>
  </si>
  <si>
    <t>Phone</t>
  </si>
  <si>
    <t>LinkedIn</t>
  </si>
  <si>
    <t>Last contacted</t>
  </si>
  <si>
    <t>Last reply</t>
  </si>
  <si>
    <t>Maya Okafor</t>
  </si>
  <si>
    <t>Champion</t>
  </si>
  <si>
    <t>Ms.</t>
  </si>
  <si>
    <t>Plant Manager</t>
  </si>
  <si>
    <t>maya.okafor@northwindfab.example</t>
  </si>
  <si>
    <t>+1 937 555 0141</t>
  </si>
  <si>
    <t>https://linkedin.example/in/maya-okafor</t>
  </si>
  <si>
    <t>Met at the regional show</t>
  </si>
  <si>
    <t>Tom Reyes</t>
  </si>
  <si>
    <t>Technical Buyer</t>
  </si>
  <si>
    <t>Mr.</t>
  </si>
  <si>
    <t>IT Lead</t>
  </si>
  <si>
    <t>tom.reyes@northwindfab.example</t>
  </si>
  <si>
    <t>Priya Natarajan</t>
  </si>
  <si>
    <t>Economic Buyer</t>
  </si>
  <si>
    <t>VP Operations</t>
  </si>
  <si>
    <t>priya@harborlights.example</t>
  </si>
  <si>
    <t>+1 253 555 0177</t>
  </si>
  <si>
    <t>https://linkedin.example/in/priya-natarajan</t>
  </si>
  <si>
    <t>Dana Whitfield</t>
  </si>
  <si>
    <t>Office Manager</t>
  </si>
  <si>
    <t>dana@bluestemdental.example</t>
  </si>
  <si>
    <t>+1 402 555 0126</t>
  </si>
  <si>
    <t>Prefers afternoon calls</t>
  </si>
  <si>
    <t>Dr. Elise Marchetti</t>
  </si>
  <si>
    <t>Dr.</t>
  </si>
  <si>
    <t>Owner</t>
  </si>
  <si>
    <t>Hank Ostrowski</t>
  </si>
  <si>
    <t>Gatekeeper</t>
  </si>
  <si>
    <t>CIO</t>
  </si>
  <si>
    <t>hank@granitepeakcu.example</t>
  </si>
  <si>
    <t>Rosa Lindqvist</t>
  </si>
  <si>
    <t>End User</t>
  </si>
  <si>
    <t>Operations Coordinator</t>
  </si>
  <si>
    <t>rosa@saltmarshmarine.example</t>
  </si>
  <si>
    <t>+1 251 555 0199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</si>
</sst>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 mmm yyyy h:mm"/>
    <numFmt numFmtId="165" formatCode="d mmm yyyy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i/>
      <color rgb="FF888888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C1B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0" fontId="0" fillId="2" borderId="0" xfId="0" applyFill="1"/>
    <xf numFmtId="164" fontId="0" fillId="0" borderId="0" xfId="0" applyNumberFormat="1"/>
    <xf numFmtId="0" fontId="3" fillId="3" borderId="0" xfId="0" applyFont="1" applyFill="1"/>
    <xf numFmtId="3" fontId="3" fillId="3" borderId="0" xfId="0" applyNumberFormat="1" applyFont="1" applyFill="1"/>
    <xf numFmtId="0" fontId="3" fillId="2" borderId="0" xfId="0" applyFont="1" applyFill="1"/>
    <xf numFmtId="164" fontId="3" fillId="3" borderId="0" xfId="0" applyNumberFormat="1" applyFont="1" applyFill="1"/>
    <xf numFmtId="0" fontId="0" fillId="0" borderId="0" xfId="0" applyAlignment="1">
      <alignment vertical="top" wrapText="1"/>
    </xf>
    <xf numFmtId="0" fontId="4" fillId="0" borderId="0" xfId="0" applyFont="1"/>
    <xf numFmtId="165" fontId="0" fillId="0" borderId="0" xfId="0" applyNumberFormat="1"/>
    <xf numFmtId="165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northwindfab.example" TargetMode="External"/><Relationship Id="rId2" Type="http://schemas.openxmlformats.org/officeDocument/2006/relationships/comments" Target="../comments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6" customWidth="1"/>
    <col min="2" max="3" width="12" customWidth="1"/>
  </cols>
  <sheetData>
    <row r="1" spans="1:3" x14ac:dyDescent="0.25">
      <c r="A1" s="1" t="s">
        <v>0</v>
      </c>
      <c r="B1" s="1"/>
      <c r="C1" s="1"/>
    </row>
    <row r="3" spans="1:3" s="2" customFormat="1" x14ac:dyDescent="0.25">
      <c r="A3" s="2" t="s">
        <v>1</v>
      </c>
      <c r="B3" s="2" t="s">
        <v>2</v>
      </c>
      <c r="C3" s="2" t="s">
        <v>3</v>
      </c>
    </row>
    <row r="4" spans="1:3" x14ac:dyDescent="0.25">
      <c r="A4" t="s">
        <v>4</v>
      </c>
      <c r="B4">
        <f>SUMPRODUCT((Prospects!$I$2:$I$2000="Not contacted")*(Prospects!$C$2:$C$2000="Direct"))</f>
        <v>1</v>
      </c>
      <c r="C4">
        <f>SUMPRODUCT((Prospects!$I$2:$I$2000="Not contacted")*(Prospects!$C$2:$C$2000="Aggregator"))</f>
        <v>0</v>
      </c>
    </row>
    <row r="5" spans="1:3" x14ac:dyDescent="0.25">
      <c r="A5" t="s">
        <v>5</v>
      </c>
      <c r="B5">
        <f>SUMPRODUCT((Prospects!$I$2:$I$2000="Contacted")*(Prospects!$C$2:$C$2000="Direct"))</f>
        <v>1</v>
      </c>
      <c r="C5">
        <f>SUMPRODUCT((Prospects!$I$2:$I$2000="Contacted")*(Prospects!$C$2:$C$2000="Aggregator"))</f>
        <v>1</v>
      </c>
    </row>
    <row r="6" spans="1:3" x14ac:dyDescent="0.25">
      <c r="A6" t="s">
        <v>6</v>
      </c>
      <c r="B6">
        <f>SUMPRODUCT((Prospects!$I$2:$I$2000="Replied")*(Prospects!$C$2:$C$2000="Direct"))</f>
        <v>0</v>
      </c>
      <c r="C6">
        <f>SUMPRODUCT((Prospects!$I$2:$I$2000="Replied")*(Prospects!$C$2:$C$2000="Aggregator"))</f>
        <v>1</v>
      </c>
    </row>
    <row r="7" spans="1:3" x14ac:dyDescent="0.25">
      <c r="A7" t="s">
        <v>7</v>
      </c>
      <c r="B7">
        <f>SUMPRODUCT((Prospects!$I$2:$I$2000="Meeting booked")*(Prospects!$C$2:$C$2000="Direct"))</f>
        <v>0</v>
      </c>
      <c r="C7">
        <f>SUMPRODUCT((Prospects!$I$2:$I$2000="Meeting booked")*(Prospects!$C$2:$C$2000="Aggregator"))</f>
        <v>1</v>
      </c>
    </row>
    <row r="8" spans="1:3" x14ac:dyDescent="0.25">
      <c r="A8" t="s">
        <v>8</v>
      </c>
      <c r="B8">
        <f>SUMPRODUCT((Prospects!$I$2:$I$2000="Clinic held")*(Prospects!$C$2:$C$2000="Direct"))</f>
        <v>0</v>
      </c>
      <c r="C8">
        <f>SUMPRODUCT((Prospects!$I$2:$I$2000="Clinic held")*(Prospects!$C$2:$C$2000="Aggregator"))</f>
        <v>0</v>
      </c>
    </row>
    <row r="9" spans="1:3" x14ac:dyDescent="0.25">
      <c r="A9" t="s">
        <v>9</v>
      </c>
      <c r="B9">
        <f>SUMPRODUCT((Prospects!$I$2:$I$2000="Trial")*(Prospects!$C$2:$C$2000="Direct"))</f>
        <v>0</v>
      </c>
      <c r="C9">
        <f>SUMPRODUCT((Prospects!$I$2:$I$2000="Trial")*(Prospects!$C$2:$C$2000="Aggregator"))</f>
        <v>0</v>
      </c>
    </row>
    <row r="10" spans="1:3" x14ac:dyDescent="0.25">
      <c r="A10" t="s">
        <v>10</v>
      </c>
      <c r="B10">
        <f>SUMPRODUCT((Prospects!$I$2:$I$2000="Signed")*(Prospects!$C$2:$C$2000="Direct"))</f>
        <v>0</v>
      </c>
      <c r="C10">
        <f>SUMPRODUCT((Prospects!$I$2:$I$2000="Signed")*(Prospects!$C$2:$C$2000="Aggregator"))</f>
        <v>0</v>
      </c>
    </row>
    <row r="11" spans="1:3" x14ac:dyDescent="0.25">
      <c r="A11" t="s">
        <v>11</v>
      </c>
      <c r="B11">
        <f>SUMPRODUCT((Prospects!$I$2:$I$2000="Dead")*(Prospects!$C$2:$C$2000="Direct"))</f>
        <v>1</v>
      </c>
      <c r="C11">
        <f>SUMPRODUCT((Prospects!$I$2:$I$2000="Dead")*(Prospects!$C$2:$C$2000="Aggregator"))</f>
        <v>0</v>
      </c>
    </row>
    <row r="13" spans="1:2" x14ac:dyDescent="0.25">
      <c r="A13" t="s">
        <v>12</v>
      </c>
      <c r="B13">
        <f>COUNTA(Prospects!$B$2:$B$2000)-1</f>
        <v>6</v>
      </c>
    </row>
    <row r="14" spans="1:2" x14ac:dyDescent="0.25">
      <c r="A14" t="s">
        <v>13</v>
      </c>
      <c r="B14">
        <f>COUNTIF(Prospects!$Q$2:$Q$2000,"TRUE")</f>
        <v>1</v>
      </c>
    </row>
    <row r="15" spans="1:2" x14ac:dyDescent="0.25">
      <c r="A15" t="s">
        <v>14</v>
      </c>
      <c r="B15">
        <f>COUNTA(Contacts!$C$2:$C$2000)</f>
        <v>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12" customWidth="1"/>
    <col min="4" max="4" width="8" customWidth="1"/>
    <col min="5" max="5" width="16" customWidth="1"/>
    <col min="6" max="6" width="20" customWidth="1"/>
    <col min="7" max="7" width="28" customWidth="1"/>
    <col min="8" max="8" width="12" style="3" customWidth="1"/>
    <col min="9" max="9" width="18" style="4" customWidth="1"/>
    <col min="10" max="10" width="28" customWidth="1"/>
    <col min="11" max="11" width="30" customWidth="1"/>
    <col min="12" max="12" width="20" style="5" customWidth="1"/>
    <col min="13" max="14" width="40" customWidth="1"/>
    <col min="15" max="15" width="18" customWidth="1"/>
    <col min="16" max="16" width="44" customWidth="1"/>
    <col min="17" max="17" width="14" customWidth="1"/>
    <col min="18" max="18" width="36" customWidth="1"/>
  </cols>
  <sheetData>
    <row r="1" spans="1:18" x14ac:dyDescent="0.25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7" t="s">
        <v>22</v>
      </c>
      <c r="I1" s="8" t="s">
        <v>23</v>
      </c>
      <c r="J1" s="6" t="s">
        <v>24</v>
      </c>
      <c r="K1" s="6" t="s">
        <v>25</v>
      </c>
      <c r="L1" s="9" t="s">
        <v>26</v>
      </c>
      <c r="M1" s="6" t="s">
        <v>27</v>
      </c>
      <c r="N1" s="6" t="s">
        <v>28</v>
      </c>
      <c r="O1" s="6" t="s">
        <v>29</v>
      </c>
      <c r="P1" s="6" t="s">
        <v>30</v>
      </c>
      <c r="Q1" s="6" t="s">
        <v>13</v>
      </c>
      <c r="R1" s="6" t="s">
        <v>31</v>
      </c>
    </row>
    <row r="2" spans="1:18" x14ac:dyDescent="0.25">
      <c r="A2" t="s">
        <v>32</v>
      </c>
      <c r="B2" t="s">
        <v>33</v>
      </c>
      <c r="C2" t="s">
        <v>2</v>
      </c>
      <c r="D2">
        <v>1</v>
      </c>
      <c r="E2" t="s">
        <v>34</v>
      </c>
      <c r="F2" t="s">
        <v>35</v>
      </c>
      <c r="G2" t="s">
        <v>36</v>
      </c>
      <c r="H2" s="3">
        <v>420</v>
      </c>
      <c r="I2" s="4" t="s">
        <v>5</v>
      </c>
      <c r="J2" t="s">
        <v>37</v>
      </c>
      <c r="L2" s="5"/>
      <c r="M2" s="10" t="s">
        <v>38</v>
      </c>
      <c r="N2" s="10" t="s">
        <v>39</v>
      </c>
      <c r="O2" t="s">
        <v>40</v>
      </c>
      <c r="P2" s="10"/>
      <c r="R2" s="10"/>
    </row>
    <row r="3" spans="1:18" x14ac:dyDescent="0.25">
      <c r="A3" t="s">
        <v>41</v>
      </c>
      <c r="B3" t="s">
        <v>42</v>
      </c>
      <c r="C3" t="s">
        <v>3</v>
      </c>
      <c r="D3">
        <v>2</v>
      </c>
      <c r="E3" t="s">
        <v>43</v>
      </c>
      <c r="F3" t="s">
        <v>44</v>
      </c>
      <c r="G3" t="s">
        <v>45</v>
      </c>
      <c r="H3" s="3">
        <v>1100</v>
      </c>
      <c r="I3" s="4" t="s">
        <v>6</v>
      </c>
      <c r="J3" t="s">
        <v>46</v>
      </c>
      <c r="L3" s="5"/>
      <c r="M3" s="10" t="s">
        <v>47</v>
      </c>
      <c r="N3" s="10" t="s">
        <v>48</v>
      </c>
      <c r="O3" t="s">
        <v>49</v>
      </c>
      <c r="P3" s="10"/>
      <c r="R3" s="10"/>
    </row>
    <row r="4" spans="1:18" x14ac:dyDescent="0.25">
      <c r="A4" t="s">
        <v>50</v>
      </c>
      <c r="B4" t="s">
        <v>51</v>
      </c>
      <c r="C4" t="s">
        <v>2</v>
      </c>
      <c r="D4">
        <v>3</v>
      </c>
      <c r="E4" t="s">
        <v>52</v>
      </c>
      <c r="F4" t="s">
        <v>53</v>
      </c>
      <c r="G4" t="s">
        <v>54</v>
      </c>
      <c r="H4" s="3">
        <v>260</v>
      </c>
      <c r="I4" s="4" t="s">
        <v>4</v>
      </c>
      <c r="L4" s="5"/>
      <c r="M4" s="10" t="s">
        <v>55</v>
      </c>
      <c r="N4" s="10"/>
      <c r="O4" t="s">
        <v>56</v>
      </c>
      <c r="P4" s="10"/>
      <c r="R4" s="10"/>
    </row>
    <row r="5" spans="1:18" x14ac:dyDescent="0.25">
      <c r="A5" t="s">
        <v>57</v>
      </c>
      <c r="B5" t="s">
        <v>58</v>
      </c>
      <c r="C5" t="s">
        <v>3</v>
      </c>
      <c r="D5">
        <v>4</v>
      </c>
      <c r="E5" t="s">
        <v>59</v>
      </c>
      <c r="F5" t="s">
        <v>60</v>
      </c>
      <c r="G5" t="s">
        <v>61</v>
      </c>
      <c r="H5" s="3">
        <v>85</v>
      </c>
      <c r="I5" s="4" t="s">
        <v>7</v>
      </c>
      <c r="J5" t="s">
        <v>62</v>
      </c>
      <c r="K5" t="s">
        <v>63</v>
      </c>
      <c r="L5" s="5">
        <v>46301.625</v>
      </c>
      <c r="M5" s="10" t="s">
        <v>64</v>
      </c>
      <c r="N5" s="10" t="s">
        <v>65</v>
      </c>
      <c r="O5" t="s">
        <v>40</v>
      </c>
      <c r="P5" s="10" t="s">
        <v>66</v>
      </c>
      <c r="R5" s="10"/>
    </row>
    <row r="6" spans="1:18" x14ac:dyDescent="0.25">
      <c r="A6" t="s">
        <v>67</v>
      </c>
      <c r="B6" t="s">
        <v>68</v>
      </c>
      <c r="C6" t="s">
        <v>2</v>
      </c>
      <c r="D6">
        <v>5</v>
      </c>
      <c r="E6" t="s">
        <v>69</v>
      </c>
      <c r="F6" t="s">
        <v>70</v>
      </c>
      <c r="G6" t="s">
        <v>71</v>
      </c>
      <c r="H6" s="3">
        <v>190</v>
      </c>
      <c r="I6" s="4" t="s">
        <v>11</v>
      </c>
      <c r="L6" s="5"/>
      <c r="M6" s="10"/>
      <c r="N6" s="10" t="s">
        <v>72</v>
      </c>
      <c r="O6" t="s">
        <v>73</v>
      </c>
      <c r="P6" s="10"/>
      <c r="Q6" t="s">
        <v>74</v>
      </c>
      <c r="R6" s="10" t="s">
        <v>75</v>
      </c>
    </row>
    <row r="7" spans="1:18" x14ac:dyDescent="0.25">
      <c r="A7" t="s">
        <v>76</v>
      </c>
      <c r="B7" t="s">
        <v>77</v>
      </c>
      <c r="C7" t="s">
        <v>3</v>
      </c>
      <c r="D7">
        <v>6</v>
      </c>
      <c r="E7" t="s">
        <v>78</v>
      </c>
      <c r="F7" t="s">
        <v>79</v>
      </c>
      <c r="G7" t="s">
        <v>80</v>
      </c>
      <c r="H7" s="3">
        <v>60</v>
      </c>
      <c r="I7" s="4" t="s">
        <v>5</v>
      </c>
      <c r="J7" t="s">
        <v>81</v>
      </c>
      <c r="L7" s="5"/>
      <c r="M7" s="10" t="s">
        <v>82</v>
      </c>
      <c r="N7" s="10"/>
      <c r="O7" t="s">
        <v>40</v>
      </c>
      <c r="P7" s="10"/>
      <c r="R7" s="10"/>
    </row>
    <row r="9" spans="2:2" x14ac:dyDescent="0.25">
      <c r="B9" s="11" t="s">
        <v>83</v>
      </c>
    </row>
  </sheetData>
  <autoFilter ref="A1:R7"/>
  <dataValidations count="3">
    <dataValidation type="list" allowBlank="1" sqref="C2:C2000">
      <formula1>"Direct,Aggregator"</formula1>
    </dataValidation>
    <dataValidation type="list" allowBlank="1" sqref="I2:I2000">
      <formula1>"Not contacted,Contacted,Replied,Meeting booked,Clinic held,Trial,Signed,Dead"</formula1>
    </dataValidation>
    <dataValidation type="list" allowBlank="1" sqref="Q2:Q2000">
      <formula1>"TRUE,FALSE"</formula1>
    </dataValidation>
  </dataValidations>
  <hyperlinks>
    <hyperlink ref="G2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22" customWidth="1"/>
    <col min="4" max="4" width="18" customWidth="1"/>
    <col min="5" max="5" width="10" customWidth="1"/>
    <col min="6" max="6" width="8" customWidth="1"/>
    <col min="7" max="7" width="26" customWidth="1"/>
    <col min="8" max="8" width="30" customWidth="1"/>
    <col min="9" max="9" width="18" customWidth="1"/>
    <col min="10" max="10" width="34" customWidth="1"/>
    <col min="11" max="11" width="14" style="12" customWidth="1"/>
    <col min="12" max="12" width="12" style="12" customWidth="1"/>
    <col min="13" max="13" width="40" customWidth="1"/>
  </cols>
  <sheetData>
    <row r="1" spans="1:13" x14ac:dyDescent="0.25">
      <c r="A1" s="6" t="s">
        <v>84</v>
      </c>
      <c r="B1" s="6" t="s">
        <v>16</v>
      </c>
      <c r="C1" s="6" t="s">
        <v>85</v>
      </c>
      <c r="D1" s="6" t="s">
        <v>86</v>
      </c>
      <c r="E1" s="6" t="s">
        <v>87</v>
      </c>
      <c r="F1" s="6" t="s">
        <v>88</v>
      </c>
      <c r="G1" s="6" t="s">
        <v>89</v>
      </c>
      <c r="H1" s="6" t="s">
        <v>90</v>
      </c>
      <c r="I1" s="6" t="s">
        <v>91</v>
      </c>
      <c r="J1" s="6" t="s">
        <v>92</v>
      </c>
      <c r="K1" s="13" t="s">
        <v>93</v>
      </c>
      <c r="L1" s="13" t="s">
        <v>94</v>
      </c>
      <c r="M1" s="6" t="s">
        <v>28</v>
      </c>
    </row>
    <row r="2" spans="1:13" x14ac:dyDescent="0.25">
      <c r="A2" t="s">
        <v>32</v>
      </c>
      <c r="B2" t="s">
        <v>33</v>
      </c>
      <c r="C2" t="s">
        <v>95</v>
      </c>
      <c r="D2" t="s">
        <v>96</v>
      </c>
      <c r="E2" t="s">
        <v>74</v>
      </c>
      <c r="F2" t="s">
        <v>97</v>
      </c>
      <c r="G2" t="s">
        <v>98</v>
      </c>
      <c r="H2" t="s">
        <v>99</v>
      </c>
      <c r="I2" t="s">
        <v>100</v>
      </c>
      <c r="J2" t="s">
        <v>101</v>
      </c>
      <c r="K2" s="12">
        <v>46287</v>
      </c>
      <c r="L2" s="12"/>
      <c r="M2" t="s">
        <v>102</v>
      </c>
    </row>
    <row r="3" spans="1:13" x14ac:dyDescent="0.25">
      <c r="A3" t="s">
        <v>32</v>
      </c>
      <c r="B3" t="s">
        <v>33</v>
      </c>
      <c r="C3" t="s">
        <v>103</v>
      </c>
      <c r="D3" t="s">
        <v>104</v>
      </c>
      <c r="F3" t="s">
        <v>105</v>
      </c>
      <c r="G3" t="s">
        <v>106</v>
      </c>
      <c r="H3" t="s">
        <v>107</v>
      </c>
      <c r="K3" s="12"/>
      <c r="L3" s="12"/>
    </row>
    <row r="4" spans="1:13" x14ac:dyDescent="0.25">
      <c r="A4" t="s">
        <v>41</v>
      </c>
      <c r="B4" t="s">
        <v>42</v>
      </c>
      <c r="C4" t="s">
        <v>108</v>
      </c>
      <c r="D4" t="s">
        <v>109</v>
      </c>
      <c r="E4" t="s">
        <v>74</v>
      </c>
      <c r="G4" t="s">
        <v>110</v>
      </c>
      <c r="H4" t="s">
        <v>111</v>
      </c>
      <c r="I4" t="s">
        <v>112</v>
      </c>
      <c r="J4" t="s">
        <v>113</v>
      </c>
      <c r="K4" s="12">
        <v>46290</v>
      </c>
      <c r="L4" s="12">
        <v>46291</v>
      </c>
    </row>
    <row r="5" spans="1:13" x14ac:dyDescent="0.25">
      <c r="A5" t="s">
        <v>57</v>
      </c>
      <c r="B5" t="s">
        <v>58</v>
      </c>
      <c r="C5" t="s">
        <v>114</v>
      </c>
      <c r="D5" t="s">
        <v>96</v>
      </c>
      <c r="E5" t="s">
        <v>74</v>
      </c>
      <c r="G5" t="s">
        <v>115</v>
      </c>
      <c r="H5" t="s">
        <v>116</v>
      </c>
      <c r="I5" t="s">
        <v>117</v>
      </c>
      <c r="K5" s="12"/>
      <c r="L5" s="12"/>
      <c r="M5" t="s">
        <v>118</v>
      </c>
    </row>
    <row r="6" spans="1:13" x14ac:dyDescent="0.25">
      <c r="A6" t="s">
        <v>57</v>
      </c>
      <c r="B6" t="s">
        <v>58</v>
      </c>
      <c r="C6" t="s">
        <v>119</v>
      </c>
      <c r="D6" t="s">
        <v>109</v>
      </c>
      <c r="F6" t="s">
        <v>120</v>
      </c>
      <c r="G6" t="s">
        <v>121</v>
      </c>
      <c r="K6" s="12"/>
      <c r="L6" s="12"/>
    </row>
    <row r="7" spans="1:13" x14ac:dyDescent="0.25">
      <c r="A7" t="s">
        <v>67</v>
      </c>
      <c r="B7" t="s">
        <v>68</v>
      </c>
      <c r="C7" t="s">
        <v>122</v>
      </c>
      <c r="D7" t="s">
        <v>123</v>
      </c>
      <c r="E7" t="s">
        <v>74</v>
      </c>
      <c r="G7" t="s">
        <v>124</v>
      </c>
      <c r="H7" t="s">
        <v>125</v>
      </c>
      <c r="K7" s="12"/>
      <c r="L7" s="12"/>
    </row>
    <row r="8" spans="1:13" x14ac:dyDescent="0.25">
      <c r="A8" t="s">
        <v>76</v>
      </c>
      <c r="B8" t="s">
        <v>77</v>
      </c>
      <c r="C8" t="s">
        <v>126</v>
      </c>
      <c r="D8" t="s">
        <v>127</v>
      </c>
      <c r="E8" t="s">
        <v>74</v>
      </c>
      <c r="G8" t="s">
        <v>128</v>
      </c>
      <c r="H8" t="s">
        <v>129</v>
      </c>
      <c r="I8" t="s">
        <v>130</v>
      </c>
      <c r="K8" s="12">
        <v>46295</v>
      </c>
      <c r="L8" s="12"/>
    </row>
  </sheetData>
  <autoFilter ref="A1:M8"/>
  <dataValidations count="2">
    <dataValidation type="list" allowBlank="1" sqref="D2:D2000">
      <formula1>"Economic Buyer,Champion,Technical Buyer,End User,Influencer,Blocker,Gatekeeper,Channel"</formula1>
    </dataValidation>
    <dataValidation type="list" allowBlank="1" sqref="E2:E2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customXml/item1.xml><?xml version="1.0" encoding="utf-8"?>
<root>fixture</roo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Prospects</vt:lpstr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Mudd fixture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0x0101003044462CB29FD24EB00A734C0481B8EA</vt:lpwstr>
  </property>
</Properties>
</file>